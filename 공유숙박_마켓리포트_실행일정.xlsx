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gimminji/현장실습/wehome-market-report/"/>
    </mc:Choice>
  </mc:AlternateContent>
  <xr:revisionPtr revIDLastSave="0" documentId="13_ncr:1_{E99E6299-D81A-D544-A884-ED38F3341BB0}" xr6:coauthVersionLast="47" xr6:coauthVersionMax="47" xr10:uidLastSave="{00000000-0000-0000-0000-000000000000}"/>
  <bookViews>
    <workbookView xWindow="0" yWindow="860" windowWidth="34200" windowHeight="21380" tabRatio="500" xr2:uid="{00000000-000D-0000-FFFF-FFFF00000000}"/>
  </bookViews>
  <sheets>
    <sheet name="마스터 일정" sheetId="1" r:id="rId1"/>
    <sheet name="블로커·리스크" sheetId="2" r:id="rId2"/>
    <sheet name="완료 산출물" sheetId="3" r:id="rId3"/>
    <sheet name="KPI" sheetId="4" r:id="rId4"/>
  </sheets>
  <definedNames>
    <definedName name="_xlnm._FilterDatabase" localSheetId="0" hidden="1">'마스터 일정'!$A$8:$I$48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3" l="1"/>
  <c r="E6" i="1"/>
  <c r="D6" i="1"/>
  <c r="C6" i="1"/>
  <c r="B6" i="1"/>
  <c r="A6" i="1"/>
  <c r="F6" i="1" l="1"/>
</calcChain>
</file>

<file path=xl/sharedStrings.xml><?xml version="1.0" encoding="utf-8"?>
<sst xmlns="http://schemas.openxmlformats.org/spreadsheetml/2006/main" count="480" uniqueCount="281">
  <si>
    <t>공유숙박 마켓리포트 — 실행 일정</t>
  </si>
  <si>
    <t>2026-07-28(화) ~ 2026-08-14(금) · 총 14 영업일 · 작성 2026-07-28</t>
  </si>
  <si>
    <t>진행 요약</t>
  </si>
  <si>
    <t>전체 작업</t>
  </si>
  <si>
    <t>완료</t>
  </si>
  <si>
    <t>진행중</t>
  </si>
  <si>
    <t>예정</t>
  </si>
  <si>
    <t>대기(블로커)</t>
  </si>
  <si>
    <t>진행률</t>
  </si>
  <si>
    <t>날짜</t>
  </si>
  <si>
    <t>요일</t>
  </si>
  <si>
    <t>주차</t>
  </si>
  <si>
    <t>P</t>
  </si>
  <si>
    <t>작업</t>
  </si>
  <si>
    <t>완료 기준</t>
  </si>
  <si>
    <t>담당</t>
  </si>
  <si>
    <t>상태</t>
  </si>
  <si>
    <t>선행조건 · 비고</t>
  </si>
  <si>
    <t>07-28</t>
  </si>
  <si>
    <t>화</t>
  </si>
  <si>
    <t>W1</t>
  </si>
  <si>
    <t>전문가 방법론 리서치 (외도민업·공유숙박·마켓리포트 프레임워크)</t>
  </si>
  <si>
    <t>KPI 체계·데이터소스 지도·함정 목록 정리</t>
  </si>
  <si>
    <t>김민지</t>
  </si>
  <si>
    <t>RevPAR/MPI·ARI·RGI, AirDNA Market Score, 국제 규제 비교까지 조사</t>
  </si>
  <si>
    <t>데이터 파이프라인 구축 (행안부 원본 직접 수집)</t>
  </si>
  <si>
    <t>5종 카테고리 CSV 수집·집계, 서울 25개 구 단위</t>
  </si>
  <si>
    <t>localdata.py — k-stay API 의존 제거, 판정 로직 자체 공개</t>
  </si>
  <si>
    <t>규제·뉴스 크롤러 (Tier1 정부 4 + 산업 13개 소스)</t>
  </si>
  <si>
    <t>332건 수집, 이미지 137건 확보</t>
  </si>
  <si>
    <t>regulation.py / news.py — 국회 관광진흥법 개정안 자동 추적 포함</t>
  </si>
  <si>
    <t>정적 웹사이트 구축 (랜딩·대시보드·리포트·뉴스)</t>
  </si>
  <si>
    <t>4개 페이지 생성, Vercel 배포</t>
  </si>
  <si>
    <t>build_site.py — wehome-market-report.vercel.app</t>
  </si>
  <si>
    <t>구독 시스템 (SQLite·즉시발송·수신거부)</t>
  </si>
  <si>
    <t>구독→저장→발송(dry-run)→해지 전 플로우 검증</t>
  </si>
  <si>
    <t>subscribers.py / email_sender.py / subscribe_server.py</t>
  </si>
  <si>
    <t>차별 지표 설계 — 포화 신호(구별 6개월 증감률)</t>
  </si>
  <si>
    <t>REPORT_SPEC.md · REVENUE_METRIC_SPEC.md</t>
  </si>
  <si>
    <t>k-stay·AirDNA에 없는 지표. 예상수익은 데이터 부재로 설계만</t>
  </si>
  <si>
    <t>사수님</t>
  </si>
  <si>
    <t>07-29</t>
  </si>
  <si>
    <t>수</t>
  </si>
  <si>
    <t>심사 접수 완료(접수번호 확보)</t>
  </si>
  <si>
    <t>대기</t>
  </si>
  <si>
    <t>★크리티컬 패스: 리드타임 3~5영업일. 오늘 신청해야 08-10 런칭 가능</t>
  </si>
  <si>
    <t>SMTP 자격증명 확보 → 실제 이메일 발송 전환</t>
  </si>
  <si>
    <t>테스트 메일 1통 실제 수신 확인</t>
  </si>
  <si>
    <t>현재 dry-run. .env의 SMTP_USER/PASSWORD 필요</t>
  </si>
  <si>
    <t>자동 발행 스케줄러 구현 (원래 08-12 → 앞당김)</t>
  </si>
  <si>
    <t>cron/launchd 등록, 1회 무인 실행 성공</t>
  </si>
  <si>
    <t>빌드→배포까지 한 번에 도는 스크립트</t>
  </si>
  <si>
    <t>report.py 정리 (웹 전환으로 용도 불명확해진 구 모듈)</t>
  </si>
  <si>
    <t>폐기 또는 알림용 요약 생성기로 재정의</t>
  </si>
  <si>
    <t>현재 245줄 방치 상태</t>
  </si>
  <si>
    <t>07-30</t>
  </si>
  <si>
    <t>목</t>
  </si>
  <si>
    <t>서울 25개 구 개별 페이지 생성</t>
  </si>
  <si>
    <t>★위홈 유입 KPI에 가장 직결되는 기능</t>
  </si>
  <si>
    <t>위홈 호스트 등록 CTA·유입 추적 설계</t>
  </si>
  <si>
    <t>UTM 파라미터 규격 확정, 클릭 추적 동작</t>
  </si>
  <si>
    <t>KPI '위홈으로의 유입' 계측의 전제</t>
  </si>
  <si>
    <t>구별 데이터 해석 문구 자동 생성</t>
  </si>
  <si>
    <t>포화/기회 지역 라벨링 (원화 금액 표기 없이)</t>
  </si>
  <si>
    <t>REVENUE_METRIC_SPEC.md의 절충안 적용</t>
  </si>
  <si>
    <t>07-31</t>
  </si>
  <si>
    <t>금</t>
  </si>
  <si>
    <t>중간 보고 ① — 데이터·지표 확정본 공유</t>
  </si>
  <si>
    <t>발행 주기 최종 확정, 리뷰 피드백 수령</t>
  </si>
  <si>
    <t>사수님 일정 사전 조율 필요</t>
  </si>
  <si>
    <t>데이터 정합성 3자 교차검증 문서화</t>
  </si>
  <si>
    <t>자체수집 vs 세이프스테이 vs k-stay 격차 설명</t>
  </si>
  <si>
    <t>현재 자체 10,894 / 세이프스테이 11,957 (9.8% 격차)</t>
  </si>
  <si>
    <t>리포트 1호 콘텐츠 초안 검수</t>
  </si>
  <si>
    <t>문장·수치 오류 0건</t>
  </si>
  <si>
    <t>08-03</t>
  </si>
  <si>
    <t>월</t>
  </si>
  <si>
    <t>W2</t>
  </si>
  <si>
    <t>인포그래픽 고도화 — 서울 구별 지도 시각화</t>
  </si>
  <si>
    <t>choropleth 지도 리포트에 반영</t>
  </si>
  <si>
    <t>현재는 막대·라인 차트만</t>
  </si>
  <si>
    <t>리포트 1호 완성본 → 사수님 리뷰 요청</t>
  </si>
  <si>
    <t>이미지 포함 최종본 전달</t>
  </si>
  <si>
    <t>08-04</t>
  </si>
  <si>
    <t>사이트 내 검색 (뉴스·리포트 통합)</t>
  </si>
  <si>
    <t>키워드 검색 동작</t>
  </si>
  <si>
    <t>SEO 기초 — sitemap.xml·robots.txt·OG 태그</t>
  </si>
  <si>
    <t>구글 서치콘솔 등록·색인 요청 완료</t>
  </si>
  <si>
    <t>구글 계정 로그인 필요(본인 수행)</t>
  </si>
  <si>
    <t>08-05</t>
  </si>
  <si>
    <t>구독 시스템 완성 — 더블 옵트인</t>
  </si>
  <si>
    <t>구독→인증메일→확인→수신 전 플로우</t>
  </si>
  <si>
    <t>07-29 SMTP 확보가 선행 조건</t>
  </si>
  <si>
    <t>수신거부 페이지 UI·개인정보 처리방침 문구</t>
  </si>
  <si>
    <t>법적 문구 검토 완료</t>
  </si>
  <si>
    <t>김민지·사수님</t>
  </si>
  <si>
    <t>현재는 평문 응답만 반환</t>
  </si>
  <si>
    <t>08-06</t>
  </si>
  <si>
    <t>맥북 종료 상태에서 구독 정상 동작</t>
  </si>
  <si>
    <t>★현재 ngrok 터널이라 맥북 꺼지면 구독 폼 중단. 호스팅 선정 필요</t>
  </si>
  <si>
    <t>SQLite → 호스팅 DB 이전 검토</t>
  </si>
  <si>
    <t>구독자 데이터 유실 없이 이관</t>
  </si>
  <si>
    <t>08-07</t>
  </si>
  <si>
    <t>홍보 콘텐츠 제작 (카드뉴스·SNS 게시물)</t>
  </si>
  <si>
    <t>채널별 게시물 세트 완성</t>
  </si>
  <si>
    <t>wehome-newsletter의 sns_convert.py 재사용</t>
  </si>
  <si>
    <t>카카오 채널 세팅 (심사 결과 반영)</t>
  </si>
  <si>
    <t>채널 개설·템플릿 등록 완료</t>
  </si>
  <si>
    <t>07-29 심사 신청 결과에 종속</t>
  </si>
  <si>
    <t>네이버 카페 개설 검토</t>
  </si>
  <si>
    <t>개설 여부 의사결정</t>
  </si>
  <si>
    <t>중간 보고 ② — 런칭 전 최종 점검·승인</t>
  </si>
  <si>
    <t>사수님 런칭 승인</t>
  </si>
  <si>
    <t>08-10</t>
  </si>
  <si>
    <t>W3</t>
  </si>
  <si>
    <t>🚀 런칭 — 채널별 홍보 게시 시작</t>
  </si>
  <si>
    <t>카카오·SNS·카페 게시 완료</t>
  </si>
  <si>
    <t>KPI 계측 세팅 (구독자·트래픽·위홈 유입)</t>
  </si>
  <si>
    <t>3개 지표 실제 집계 확인</t>
  </si>
  <si>
    <t>GA4 등 분석도구 연동</t>
  </si>
  <si>
    <t>08-11</t>
  </si>
  <si>
    <t>카카오 채널 첫 발송</t>
  </si>
  <si>
    <t>구독자 대상 발송 성공</t>
  </si>
  <si>
    <t>템플릿 심사 통과 전제</t>
  </si>
  <si>
    <t>런칭 초기 모니터링·긴급 이슈 대응</t>
  </si>
  <si>
    <t>장애 0건 또는 당일 복구</t>
  </si>
  <si>
    <t>08-12</t>
  </si>
  <si>
    <t>★자동 발행 사이클 검증 — 2호 무인 발행</t>
  </si>
  <si>
    <t>사람 개입 없이 생성·발송 완료</t>
  </si>
  <si>
    <t>이 프로젝트의 핵심 검증 항목</t>
  </si>
  <si>
    <t>호스트레터 연계 (뉴스레터↔리포트 상호 유입)</t>
  </si>
  <si>
    <t>양방향 링크 삽입</t>
  </si>
  <si>
    <t>08-13</t>
  </si>
  <si>
    <t>유입 데이터 분석 → 이탈 지점 개선</t>
  </si>
  <si>
    <t>개선 전후 수치 비교표</t>
  </si>
  <si>
    <t>런칭 후 3일치 데이터 기준</t>
  </si>
  <si>
    <t>분야별 구독 선택 (정책·행사 등 관심사)</t>
  </si>
  <si>
    <t>카테고리 선택 UI 동작</t>
  </si>
  <si>
    <t>08-14</t>
  </si>
  <si>
    <t>KPI 성과 리포트 작성</t>
  </si>
  <si>
    <t>구독자·트래픽·유입경로별 성과 정리</t>
  </si>
  <si>
    <t>타인이 단독 운영 가능한 수준</t>
  </si>
  <si>
    <t>실습 종료 후 지속 운영의 전제</t>
  </si>
  <si>
    <t>다음 단계 제안 (멀티에이전트·퍼포먼스 마케팅)</t>
  </si>
  <si>
    <t>대표님·사수님 보고 자료 완성</t>
  </si>
  <si>
    <t>블로커 · 리스크 관리</t>
  </si>
  <si>
    <t>코드로 해결 불가 — 외부 승인·계정·심사가 필요한 항목 (2026-07-28 기준)</t>
  </si>
  <si>
    <t>#</t>
  </si>
  <si>
    <t>항목</t>
  </si>
  <si>
    <t>유형</t>
  </si>
  <si>
    <t>영향</t>
  </si>
  <si>
    <t>필요 조치</t>
  </si>
  <si>
    <t>기한</t>
  </si>
  <si>
    <t>카카오 알림톡 템플릿 심사</t>
  </si>
  <si>
    <t>외부 심사</t>
  </si>
  <si>
    <t>미신청 시 08-10 런칭에서 카톡 채널 전체 누락</t>
  </si>
  <si>
    <t>카카오 비즈니스 채널 개설 → 템플릿 등록 → 심사 접수</t>
  </si>
  <si>
    <t>SMTP 발신 계정</t>
  </si>
  <si>
    <t>계정 발급</t>
  </si>
  <si>
    <t>현재 dry-run — 구독해도 실제 메일이 안 나감</t>
  </si>
  <si>
    <t>.env에 SMTP_USER/PASSWORD 입력 (위홈 발신 계정 또는 신규)</t>
  </si>
  <si>
    <t>맥북 의존 (ngrok 터널)</t>
  </si>
  <si>
    <t>인프라</t>
  </si>
  <si>
    <t>맥북 종료·재시작 시 구독 폼 즉시 중단, URL도 변경됨</t>
  </si>
  <si>
    <t>상시 호스팅 이전 (Railway·Render 등) 또는 위홈 인프라 편입</t>
  </si>
  <si>
    <t>WEHOME_INTERN_API_KEY</t>
  </si>
  <si>
    <t>예상 수익 지표 구현 불가 (ADR·점유율 실데이터 부재)</t>
  </si>
  <si>
    <t>위홈 회원·예약 API 접근권 발급 요청</t>
  </si>
  <si>
    <t>구글 서치콘솔 계정</t>
  </si>
  <si>
    <t>계정 로그인</t>
  </si>
  <si>
    <t>SEO 색인 요청 불가 → 검색 유입 지연</t>
  </si>
  <si>
    <t>본인 구글 계정으로 소유권 확인</t>
  </si>
  <si>
    <t>네이버 카페 개설 여부</t>
  </si>
  <si>
    <t>의사결정</t>
  </si>
  <si>
    <t>미결정 시 홍보 채널 하나 누락</t>
  </si>
  <si>
    <t>개설 여부 및 운영 주체 결정</t>
  </si>
  <si>
    <t>k-stay.ai 가짜 데이터 혼재</t>
  </si>
  <si>
    <t>데이터 신뢰성</t>
  </si>
  <si>
    <t>/analysis의 Airbnb 미등록률은 하드코딩 난수 — 인용 시 신뢰도 훼손</t>
  </si>
  <si>
    <t>해당 수치 인용 금지 (코드·메모리에 경고 기재 완료). 위홈에 수정 건의</t>
  </si>
  <si>
    <t>상시</t>
  </si>
  <si>
    <t>서울관광재단 기사 이미지</t>
  </si>
  <si>
    <t>기술적 한계</t>
  </si>
  <si>
    <t>모든 기사가 동일 로고만 반환 — 이미지 표시 불가</t>
  </si>
  <si>
    <t>플레이스홀더 유지 (해결 불가, 조치 없음)</t>
  </si>
  <si>
    <t>-</t>
  </si>
  <si>
    <t>한국관광 데이터랩 수집</t>
  </si>
  <si>
    <t>JS 렌더링 SPA라 정적 수집 불가</t>
  </si>
  <si>
    <t>Playwright 도입 시 재검토 (현재는 드랍 유지)</t>
  </si>
  <si>
    <t>완료 산출물 인벤토리</t>
  </si>
  <si>
    <t>2026-07-28 기준 · 코드 3,492줄(테스트 773줄 포함) · 전 모듈 자체 검증 통과</t>
  </si>
  <si>
    <t>파일</t>
  </si>
  <si>
    <t>라인</t>
  </si>
  <si>
    <t>역할</t>
  </si>
  <si>
    <t>테스트</t>
  </si>
  <si>
    <t>비고</t>
  </si>
  <si>
    <t>localdata.py</t>
  </si>
  <si>
    <t>행안부 인허가 원본 CSV 직접 수집·집계 (5종 카테고리, 전국 시군구)</t>
  </si>
  <si>
    <t>10건</t>
  </si>
  <si>
    <t>핵심 데이터 소스</t>
  </si>
  <si>
    <t>news.py</t>
  </si>
  <si>
    <t>산업·수요 뉴스 13개 소스 수집 (RSS 5 + HTML 7 + 네이버 API)</t>
  </si>
  <si>
    <t>20건</t>
  </si>
  <si>
    <t>332건 수집, 이미지 137건</t>
  </si>
  <si>
    <t>regulation.py</t>
  </si>
  <si>
    <t>Tier1 규제·정책 수집 (문체부·정책브리핑·국회 계류법안)</t>
  </si>
  <si>
    <t>9건</t>
  </si>
  <si>
    <t>관광진흥법 개정안 자동 추적</t>
  </si>
  <si>
    <t>safestay.py</t>
  </si>
  <si>
    <t>한국관광공사 세이프스테이 — 교차검증용 독립 계통</t>
  </si>
  <si>
    <t>5건</t>
  </si>
  <si>
    <t>주석 처리된 &lt;th&gt; 함정 방어</t>
  </si>
  <si>
    <t>kstay.py</t>
  </si>
  <si>
    <t>k-stay 오픈 API — 인바운드 관광객 통계만 사용</t>
  </si>
  <si>
    <t>등록 통계는 자체 수집으로 대체</t>
  </si>
  <si>
    <t>sources.py</t>
  </si>
  <si>
    <t>소스 레지스트리 18개 감사 결과 + 제외 사유 기록</t>
  </si>
  <si>
    <t>설계 문서 겸용</t>
  </si>
  <si>
    <t>build_site.py</t>
  </si>
  <si>
    <t>정적 사이트 생성 (랜딩·대시보드·리포트 아카이브·뉴스)</t>
  </si>
  <si>
    <t>Vercel 배포 산출물</t>
  </si>
  <si>
    <t>viz.py</t>
  </si>
  <si>
    <t>차트 렌더 공용 유틸 (matplotlib, 한글 폰트)</t>
  </si>
  <si>
    <t>subscribers.py</t>
  </si>
  <si>
    <t>구독자 저장 (SQLite, 탈퇴·재구독 상태 관리)</t>
  </si>
  <si>
    <t>7건</t>
  </si>
  <si>
    <t>JSON 파일에서 이전</t>
  </si>
  <si>
    <t>email_sender.py</t>
  </si>
  <si>
    <t>구독 즉시 발송 + HMAC 수신거부 토큰</t>
  </si>
  <si>
    <t>SMTP 미설정 시 dry-run</t>
  </si>
  <si>
    <t>subscribe_server.py</t>
  </si>
  <si>
    <t>구독 폼 수신 API (Flask) + /unsubscribe</t>
  </si>
  <si>
    <t>현재 ngrok 터널</t>
  </si>
  <si>
    <t>report.py</t>
  </si>
  <si>
    <t>구 단일 HTML 생성기 — 웹 전환으로 용도 불명확</t>
  </si>
  <si>
    <t>⚠ 07-29 정리 대상</t>
  </si>
  <si>
    <t>REPORT_SPEC.md</t>
  </si>
  <si>
    <t>리포트 목차 + 지표별 데이터 출처 매핑 + 경쟁사 비교</t>
  </si>
  <si>
    <t>7/30 체크포인트 산출물</t>
  </si>
  <si>
    <t>REVENUE_METRIC_SPEC.md</t>
  </si>
  <si>
    <t>예상수익 지표 설계 (미구현 사유·계산식·절충안)</t>
  </si>
  <si>
    <t>데이터 확보 시 즉시 구현 가능</t>
  </si>
  <si>
    <t>합계 (코드)</t>
  </si>
  <si>
    <t>KPI 정의 및 목표</t>
  </si>
  <si>
    <t>최종 목표는 위홈 호스트 유입 — 구독자·트래픽은 선행 지표</t>
  </si>
  <si>
    <t>지표</t>
  </si>
  <si>
    <t>정의·산식</t>
  </si>
  <si>
    <t>계측 방법</t>
  </si>
  <si>
    <t>08-14 목표</t>
  </si>
  <si>
    <t>실적</t>
  </si>
  <si>
    <t>카카오 채널 구독자</t>
  </si>
  <si>
    <t>채널 친구 추가 수 (누적)</t>
  </si>
  <si>
    <t>카카오 채널 관리자</t>
  </si>
  <si>
    <t>템플릿 심사 통과 후 08-11부터 계측 가능</t>
  </si>
  <si>
    <t>이메일 구독자</t>
  </si>
  <si>
    <t>active 상태 구독자 수</t>
  </si>
  <si>
    <t>subscribers.db / /subscribers</t>
  </si>
  <si>
    <t>현재 테스트 데이터만 존재 — 런칭 시 초기화 필요</t>
  </si>
  <si>
    <t>페이지 트래픽</t>
  </si>
  <si>
    <t>순 방문자 수 (UV)</t>
  </si>
  <si>
    <t>GA4 (08-10 세팅)</t>
  </si>
  <si>
    <t>랜딩·대시보드·뉴스 페이지별 분리 집계</t>
  </si>
  <si>
    <t>★위홈 유입</t>
  </si>
  <si>
    <t>사이트→wehome.me 클릭 수</t>
  </si>
  <si>
    <t>UTM 파라미터 + GA4</t>
  </si>
  <si>
    <t>최종 목표 지표. 07-30 CTA 설계 시 UTM 규격 확정</t>
  </si>
  <si>
    <t>호스트 전환</t>
  </si>
  <si>
    <t>유입 중 실제 호스트 가입 완료</t>
  </si>
  <si>
    <t>위홈 내부 데이터</t>
  </si>
  <si>
    <t>위홈 측 데이터 연동 필요 — 측정 가능 여부 확인 요</t>
  </si>
  <si>
    <t>자동 발행 성공률</t>
  </si>
  <si>
    <t>무인 발행 성공 / 시도</t>
  </si>
  <si>
    <t>스케줄러 로그</t>
  </si>
  <si>
    <t>100%</t>
  </si>
  <si>
    <t>08-12 검증 항목</t>
  </si>
  <si>
    <t>※ 노란 칸(목표·실적)은 사수님 협의 후 직접 입력하는 칸입니다. 목표 수치는 런칭 전 08-07 중간보고에서 확정 권장.</t>
  </si>
  <si>
    <t>카카오 알림톡 채널·템플릿 심사 신청</t>
    <phoneticPr fontId="14" type="noConversion"/>
  </si>
  <si>
    <t>상시 서버 이전 — 맥북 의존 제거</t>
    <phoneticPr fontId="14" type="noConversion"/>
  </si>
  <si>
    <t>김민지</t>
    <phoneticPr fontId="14" type="noConversion"/>
  </si>
  <si>
    <t>신규 진입자 후크 — 지역별 사전 리포트</t>
    <phoneticPr fontId="14" type="noConversion"/>
  </si>
  <si>
    <t>운영 매뉴얼 문서화 (인수인계)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</si>
</sst>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7">
    <font>
      <sz val="11"/>
      <color theme="1"/>
      <name val="나눔고딕"/>
      <family val="2"/>
    </font>
    <font>
      <b/>
      <sz val="15"/>
      <color rgb="FF1B2A4A"/>
      <name val="맑은 고딕"/>
      <charset val="129"/>
    </font>
    <font>
      <sz val="9"/>
      <color rgb="FF5B6472"/>
      <name val="맑은 고딕"/>
      <charset val="129"/>
    </font>
    <font>
      <b/>
      <sz val="11"/>
      <color rgb="FF1B2A4A"/>
      <name val="맑은 고딕"/>
      <charset val="129"/>
    </font>
    <font>
      <b/>
      <sz val="9"/>
      <name val="맑은 고딕"/>
      <charset val="129"/>
    </font>
    <font>
      <b/>
      <sz val="12"/>
      <color rgb="FF1B2A4A"/>
      <name val="맑은 고딕"/>
      <charset val="129"/>
    </font>
    <font>
      <b/>
      <sz val="10"/>
      <color rgb="FFFFFFFF"/>
      <name val="맑은 고딕"/>
      <charset val="129"/>
    </font>
    <font>
      <sz val="9.5"/>
      <name val="맑은 고딕"/>
      <charset val="129"/>
    </font>
    <font>
      <b/>
      <sz val="9.5"/>
      <name val="맑은 고딕"/>
      <charset val="129"/>
    </font>
    <font>
      <b/>
      <sz val="9.5"/>
      <color rgb="FF00806E"/>
      <name val="맑은 고딕"/>
      <charset val="129"/>
    </font>
    <font>
      <b/>
      <sz val="9.5"/>
      <color rgb="FF5B6472"/>
      <name val="맑은 고딕"/>
      <charset val="129"/>
    </font>
    <font>
      <b/>
      <sz val="9.5"/>
      <color rgb="FFC0392B"/>
      <name val="맑은 고딕"/>
      <charset val="129"/>
    </font>
    <font>
      <b/>
      <sz val="10"/>
      <color rgb="FF1B2A4A"/>
      <name val="맑은 고딕"/>
      <charset val="129"/>
    </font>
    <font>
      <i/>
      <sz val="9"/>
      <color rgb="FF8A6D3B"/>
      <name val="맑은 고딕"/>
      <charset val="129"/>
    </font>
    <font>
      <sz val="8"/>
      <name val="굴림"/>
      <family val="2"/>
      <charset val="129"/>
    </font>
    <font>
      <b/>
      <sz val="9.5"/>
      <name val="맑은 고딕"/>
      <family val="2"/>
      <charset val="129"/>
    </font>
    <font>
      <sz val="9.5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F2F5F8"/>
        <bgColor rgb="FFE8F6F3"/>
      </patternFill>
    </fill>
    <fill>
      <patternFill patternType="solid">
        <fgColor rgb="FF1B2A4A"/>
        <bgColor rgb="FF003366"/>
      </patternFill>
    </fill>
    <fill>
      <patternFill patternType="solid">
        <fgColor rgb="FFE8F6F3"/>
        <bgColor rgb="FFF2F5F8"/>
      </patternFill>
    </fill>
    <fill>
      <patternFill patternType="solid">
        <fgColor rgb="FFFDECEA"/>
        <bgColor rgb="FFFFF6E5"/>
      </patternFill>
    </fill>
    <fill>
      <patternFill patternType="solid">
        <fgColor rgb="FFFFF6E5"/>
        <bgColor rgb="FFFFFDE7"/>
      </patternFill>
    </fill>
    <fill>
      <patternFill patternType="solid">
        <fgColor rgb="FFFFFDE7"/>
        <bgColor rgb="FFFFF6E5"/>
      </patternFill>
    </fill>
  </fills>
  <borders count="3">
    <border>
      <left/>
      <right/>
      <top/>
      <bottom/>
      <diagonal/>
    </border>
    <border>
      <left style="thin">
        <color rgb="FFD5DBE2"/>
      </left>
      <right style="thin">
        <color rgb="FFD5DBE2"/>
      </right>
      <top style="thin">
        <color rgb="FFD5DBE2"/>
      </top>
      <bottom style="thin">
        <color rgb="FFD5DBE2"/>
      </bottom>
      <diagonal/>
    </border>
    <border>
      <left style="thin">
        <color rgb="FFD5DBE2"/>
      </left>
      <right style="thin">
        <color rgb="FFD5DBE2"/>
      </right>
      <top style="medium">
        <color rgb="FF1B2A4A"/>
      </top>
      <bottom style="thin">
        <color rgb="FFD5DBE2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3" fillId="6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/>
    </xf>
    <xf numFmtId="0" fontId="7" fillId="5" borderId="2" xfId="0" applyFont="1" applyFill="1" applyBorder="1" applyAlignment="1">
      <alignment horizontal="center" vertical="top"/>
    </xf>
    <xf numFmtId="0" fontId="7" fillId="5" borderId="2" xfId="0" applyFont="1" applyFill="1" applyBorder="1" applyAlignment="1">
      <alignment horizontal="left" vertical="top" wrapText="1"/>
    </xf>
    <xf numFmtId="0" fontId="11" fillId="5" borderId="2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 vertical="top"/>
    </xf>
    <xf numFmtId="0" fontId="7" fillId="6" borderId="1" xfId="0" applyFont="1" applyFill="1" applyBorder="1" applyAlignment="1">
      <alignment horizontal="center" vertical="top"/>
    </xf>
    <xf numFmtId="0" fontId="7" fillId="6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/>
    </xf>
    <xf numFmtId="0" fontId="12" fillId="2" borderId="1" xfId="0" applyFont="1" applyFill="1" applyBorder="1"/>
    <xf numFmtId="0" fontId="12" fillId="2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vertical="top"/>
    </xf>
    <xf numFmtId="0" fontId="15" fillId="5" borderId="2" xfId="0" applyFont="1" applyFill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6" fillId="5" borderId="1" xfId="0" applyFont="1" applyFill="1" applyBorder="1" applyAlignment="1">
      <alignment horizontal="center" vertical="top"/>
    </xf>
    <xf numFmtId="0" fontId="15" fillId="0" borderId="1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3B"/>
      <rgbColor rgb="FF800080"/>
      <rgbColor rgb="FF00806E"/>
      <rgbColor rgb="FFC0C0C0"/>
      <rgbColor rgb="FF808080"/>
      <rgbColor rgb="FF9999FF"/>
      <rgbColor rgb="FF993366"/>
      <rgbColor rgb="FFFFFDE7"/>
      <rgbColor rgb="FFE8F6F3"/>
      <rgbColor rgb="FF660066"/>
      <rgbColor rgb="FFFF8080"/>
      <rgbColor rgb="FF0066CC"/>
      <rgbColor rgb="FFD5DB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8"/>
      <rgbColor rgb="FFFDECEA"/>
      <rgbColor rgb="FFFFF6E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zoomScaleNormal="100" workbookViewId="0">
      <pane ySplit="8" topLeftCell="A9" activePane="bottomLeft" state="frozen"/>
      <selection pane="bottomLeft" activeCell="J45" sqref="J45"/>
    </sheetView>
  </sheetViews>
  <sheetFormatPr baseColWidth="10" defaultColWidth="7.28515625" defaultRowHeight="15"/>
  <cols>
    <col min="1" max="1" width="9.140625" customWidth="1"/>
    <col min="2" max="2" width="5" customWidth="1"/>
    <col min="3" max="3" width="5.85546875" customWidth="1"/>
    <col min="4" max="4" width="4.140625" customWidth="1"/>
    <col min="5" max="5" width="28.42578125" customWidth="1"/>
    <col min="6" max="6" width="33.42578125" customWidth="1"/>
    <col min="7" max="8" width="7.5703125" customWidth="1"/>
    <col min="9" max="9" width="28.42578125" customWidth="1"/>
  </cols>
  <sheetData>
    <row r="1" spans="1:9" ht="30" customHeight="1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ht="17">
      <c r="A4" s="4" t="s">
        <v>2</v>
      </c>
    </row>
    <row r="5" spans="1:9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9" ht="18">
      <c r="A6" s="6">
        <f>COUNTA($E$9:$E$48)</f>
        <v>39</v>
      </c>
      <c r="B6" s="6">
        <f>COUNTIF($H$9:$H$48,"완료")</f>
        <v>6</v>
      </c>
      <c r="C6" s="6">
        <f>COUNTIF($H$9:$H$48,"진행중")</f>
        <v>0</v>
      </c>
      <c r="D6" s="6">
        <f>COUNTIF($H$9:$H$48,"예정")</f>
        <v>30</v>
      </c>
      <c r="E6" s="6">
        <f>COUNTIF($H$9:$H$48,"대기")</f>
        <v>3</v>
      </c>
      <c r="F6" s="7">
        <f>IFERROR(B6/A6,0)</f>
        <v>0.15384615384615385</v>
      </c>
    </row>
    <row r="8" spans="1:9" ht="25.5" customHeight="1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8" t="s">
        <v>14</v>
      </c>
      <c r="G8" s="8" t="s">
        <v>15</v>
      </c>
      <c r="H8" s="8" t="s">
        <v>16</v>
      </c>
      <c r="I8" s="8" t="s">
        <v>17</v>
      </c>
    </row>
    <row r="9" spans="1:9" ht="30" customHeight="1">
      <c r="A9" s="9" t="s">
        <v>18</v>
      </c>
      <c r="B9" s="9" t="s">
        <v>19</v>
      </c>
      <c r="C9" s="9" t="s">
        <v>20</v>
      </c>
      <c r="D9" s="9">
        <v>1</v>
      </c>
      <c r="E9" s="10" t="s">
        <v>21</v>
      </c>
      <c r="F9" s="11" t="s">
        <v>22</v>
      </c>
      <c r="G9" s="9" t="s">
        <v>23</v>
      </c>
      <c r="H9" s="12" t="s">
        <v>4</v>
      </c>
      <c r="I9" s="11" t="s">
        <v>24</v>
      </c>
    </row>
    <row r="10" spans="1:9" ht="30" customHeight="1">
      <c r="A10" s="9" t="s">
        <v>18</v>
      </c>
      <c r="B10" s="9" t="s">
        <v>19</v>
      </c>
      <c r="C10" s="9" t="s">
        <v>20</v>
      </c>
      <c r="D10" s="9">
        <v>1</v>
      </c>
      <c r="E10" s="10" t="s">
        <v>25</v>
      </c>
      <c r="F10" s="11" t="s">
        <v>26</v>
      </c>
      <c r="G10" s="9" t="s">
        <v>23</v>
      </c>
      <c r="H10" s="12" t="s">
        <v>4</v>
      </c>
      <c r="I10" s="11" t="s">
        <v>27</v>
      </c>
    </row>
    <row r="11" spans="1:9" ht="30" customHeight="1">
      <c r="A11" s="9" t="s">
        <v>18</v>
      </c>
      <c r="B11" s="9" t="s">
        <v>19</v>
      </c>
      <c r="C11" s="9" t="s">
        <v>20</v>
      </c>
      <c r="D11" s="9">
        <v>1</v>
      </c>
      <c r="E11" s="10" t="s">
        <v>28</v>
      </c>
      <c r="F11" s="11" t="s">
        <v>29</v>
      </c>
      <c r="G11" s="9" t="s">
        <v>23</v>
      </c>
      <c r="H11" s="12" t="s">
        <v>4</v>
      </c>
      <c r="I11" s="11" t="s">
        <v>30</v>
      </c>
    </row>
    <row r="12" spans="1:9" ht="30" customHeight="1">
      <c r="A12" s="9" t="s">
        <v>18</v>
      </c>
      <c r="B12" s="9" t="s">
        <v>19</v>
      </c>
      <c r="C12" s="9" t="s">
        <v>20</v>
      </c>
      <c r="D12" s="9">
        <v>2</v>
      </c>
      <c r="E12" s="11" t="s">
        <v>31</v>
      </c>
      <c r="F12" s="11" t="s">
        <v>32</v>
      </c>
      <c r="G12" s="9" t="s">
        <v>23</v>
      </c>
      <c r="H12" s="12" t="s">
        <v>4</v>
      </c>
      <c r="I12" s="11" t="s">
        <v>33</v>
      </c>
    </row>
    <row r="13" spans="1:9" ht="30" customHeight="1">
      <c r="A13" s="9" t="s">
        <v>18</v>
      </c>
      <c r="B13" s="9" t="s">
        <v>19</v>
      </c>
      <c r="C13" s="9" t="s">
        <v>20</v>
      </c>
      <c r="D13" s="9">
        <v>2</v>
      </c>
      <c r="E13" s="11" t="s">
        <v>34</v>
      </c>
      <c r="F13" s="11" t="s">
        <v>35</v>
      </c>
      <c r="G13" s="9" t="s">
        <v>23</v>
      </c>
      <c r="H13" s="12" t="s">
        <v>4</v>
      </c>
      <c r="I13" s="11" t="s">
        <v>36</v>
      </c>
    </row>
    <row r="14" spans="1:9" ht="30" customHeight="1" thickBot="1">
      <c r="A14" s="9" t="s">
        <v>18</v>
      </c>
      <c r="B14" s="9" t="s">
        <v>19</v>
      </c>
      <c r="C14" s="9" t="s">
        <v>20</v>
      </c>
      <c r="D14" s="9">
        <v>1</v>
      </c>
      <c r="E14" s="10" t="s">
        <v>37</v>
      </c>
      <c r="F14" s="11" t="s">
        <v>38</v>
      </c>
      <c r="G14" s="9" t="s">
        <v>23</v>
      </c>
      <c r="H14" s="12" t="s">
        <v>4</v>
      </c>
      <c r="I14" s="11" t="s">
        <v>39</v>
      </c>
    </row>
    <row r="15" spans="1:9" ht="30" customHeight="1">
      <c r="A15" s="17" t="s">
        <v>41</v>
      </c>
      <c r="B15" s="17" t="s">
        <v>42</v>
      </c>
      <c r="C15" s="17" t="s">
        <v>20</v>
      </c>
      <c r="D15" s="17">
        <v>1</v>
      </c>
      <c r="E15" s="37" t="s">
        <v>276</v>
      </c>
      <c r="F15" s="18" t="s">
        <v>43</v>
      </c>
      <c r="G15" s="17" t="s">
        <v>23</v>
      </c>
      <c r="H15" s="19" t="s">
        <v>44</v>
      </c>
      <c r="I15" s="18" t="s">
        <v>45</v>
      </c>
    </row>
    <row r="16" spans="1:9" ht="30" customHeight="1">
      <c r="A16" s="20" t="s">
        <v>41</v>
      </c>
      <c r="B16" s="20" t="s">
        <v>42</v>
      </c>
      <c r="C16" s="20" t="s">
        <v>20</v>
      </c>
      <c r="D16" s="20">
        <v>1</v>
      </c>
      <c r="E16" s="21" t="s">
        <v>46</v>
      </c>
      <c r="F16" s="22" t="s">
        <v>47</v>
      </c>
      <c r="G16" s="39" t="s">
        <v>278</v>
      </c>
      <c r="H16" s="23" t="s">
        <v>44</v>
      </c>
      <c r="I16" s="22" t="s">
        <v>48</v>
      </c>
    </row>
    <row r="17" spans="1:9" ht="30" customHeight="1">
      <c r="A17" s="13" t="s">
        <v>41</v>
      </c>
      <c r="B17" s="13" t="s">
        <v>42</v>
      </c>
      <c r="C17" s="13" t="s">
        <v>20</v>
      </c>
      <c r="D17" s="13">
        <v>2</v>
      </c>
      <c r="E17" s="15" t="s">
        <v>49</v>
      </c>
      <c r="F17" s="15" t="s">
        <v>50</v>
      </c>
      <c r="G17" s="13" t="s">
        <v>23</v>
      </c>
      <c r="H17" s="16" t="s">
        <v>6</v>
      </c>
      <c r="I17" s="15" t="s">
        <v>51</v>
      </c>
    </row>
    <row r="18" spans="1:9" ht="30" customHeight="1" thickBot="1">
      <c r="A18" s="13" t="s">
        <v>41</v>
      </c>
      <c r="B18" s="13" t="s">
        <v>42</v>
      </c>
      <c r="C18" s="13" t="s">
        <v>20</v>
      </c>
      <c r="D18" s="13">
        <v>3</v>
      </c>
      <c r="E18" s="15" t="s">
        <v>52</v>
      </c>
      <c r="F18" s="15" t="s">
        <v>53</v>
      </c>
      <c r="G18" s="13" t="s">
        <v>23</v>
      </c>
      <c r="H18" s="16" t="s">
        <v>6</v>
      </c>
      <c r="I18" s="15" t="s">
        <v>54</v>
      </c>
    </row>
    <row r="19" spans="1:9" ht="30" customHeight="1">
      <c r="A19" s="24" t="s">
        <v>55</v>
      </c>
      <c r="B19" s="24" t="s">
        <v>56</v>
      </c>
      <c r="C19" s="24" t="s">
        <v>20</v>
      </c>
      <c r="D19" s="24">
        <v>1</v>
      </c>
      <c r="E19" s="38" t="s">
        <v>279</v>
      </c>
      <c r="F19" s="26" t="s">
        <v>57</v>
      </c>
      <c r="G19" s="24" t="s">
        <v>23</v>
      </c>
      <c r="H19" s="27" t="s">
        <v>6</v>
      </c>
      <c r="I19" s="26" t="s">
        <v>58</v>
      </c>
    </row>
    <row r="20" spans="1:9" ht="30" customHeight="1">
      <c r="A20" s="13" t="s">
        <v>55</v>
      </c>
      <c r="B20" s="13" t="s">
        <v>56</v>
      </c>
      <c r="C20" s="13" t="s">
        <v>20</v>
      </c>
      <c r="D20" s="13">
        <v>1</v>
      </c>
      <c r="E20" s="14" t="s">
        <v>59</v>
      </c>
      <c r="F20" s="15" t="s">
        <v>60</v>
      </c>
      <c r="G20" s="13" t="s">
        <v>23</v>
      </c>
      <c r="H20" s="16" t="s">
        <v>6</v>
      </c>
      <c r="I20" s="15" t="s">
        <v>61</v>
      </c>
    </row>
    <row r="21" spans="1:9" ht="30" customHeight="1" thickBot="1">
      <c r="A21" s="13" t="s">
        <v>55</v>
      </c>
      <c r="B21" s="13" t="s">
        <v>56</v>
      </c>
      <c r="C21" s="13" t="s">
        <v>20</v>
      </c>
      <c r="D21" s="13">
        <v>2</v>
      </c>
      <c r="E21" s="15" t="s">
        <v>62</v>
      </c>
      <c r="F21" s="15" t="s">
        <v>63</v>
      </c>
      <c r="G21" s="13" t="s">
        <v>23</v>
      </c>
      <c r="H21" s="16" t="s">
        <v>6</v>
      </c>
      <c r="I21" s="15" t="s">
        <v>64</v>
      </c>
    </row>
    <row r="22" spans="1:9" ht="30" customHeight="1">
      <c r="A22" s="24" t="s">
        <v>65</v>
      </c>
      <c r="B22" s="24" t="s">
        <v>66</v>
      </c>
      <c r="C22" s="24" t="s">
        <v>20</v>
      </c>
      <c r="D22" s="24">
        <v>1</v>
      </c>
      <c r="E22" s="25" t="s">
        <v>67</v>
      </c>
      <c r="F22" s="26" t="s">
        <v>68</v>
      </c>
      <c r="G22" s="24" t="s">
        <v>23</v>
      </c>
      <c r="H22" s="27" t="s">
        <v>6</v>
      </c>
      <c r="I22" s="26" t="s">
        <v>69</v>
      </c>
    </row>
    <row r="23" spans="1:9" ht="30" customHeight="1">
      <c r="A23" s="13" t="s">
        <v>65</v>
      </c>
      <c r="B23" s="13" t="s">
        <v>66</v>
      </c>
      <c r="C23" s="13" t="s">
        <v>20</v>
      </c>
      <c r="D23" s="13">
        <v>2</v>
      </c>
      <c r="E23" s="15" t="s">
        <v>70</v>
      </c>
      <c r="F23" s="15" t="s">
        <v>71</v>
      </c>
      <c r="G23" s="13" t="s">
        <v>23</v>
      </c>
      <c r="H23" s="16" t="s">
        <v>6</v>
      </c>
      <c r="I23" s="15" t="s">
        <v>72</v>
      </c>
    </row>
    <row r="24" spans="1:9" ht="30" customHeight="1" thickBot="1">
      <c r="A24" s="13" t="s">
        <v>65</v>
      </c>
      <c r="B24" s="13" t="s">
        <v>66</v>
      </c>
      <c r="C24" s="13" t="s">
        <v>20</v>
      </c>
      <c r="D24" s="13">
        <v>3</v>
      </c>
      <c r="E24" s="15" t="s">
        <v>73</v>
      </c>
      <c r="F24" s="15" t="s">
        <v>74</v>
      </c>
      <c r="G24" s="13" t="s">
        <v>23</v>
      </c>
      <c r="H24" s="16" t="s">
        <v>6</v>
      </c>
      <c r="I24" s="15"/>
    </row>
    <row r="25" spans="1:9" ht="30" customHeight="1">
      <c r="A25" s="24" t="s">
        <v>75</v>
      </c>
      <c r="B25" s="24" t="s">
        <v>76</v>
      </c>
      <c r="C25" s="24" t="s">
        <v>77</v>
      </c>
      <c r="D25" s="24">
        <v>2</v>
      </c>
      <c r="E25" s="26" t="s">
        <v>78</v>
      </c>
      <c r="F25" s="26" t="s">
        <v>79</v>
      </c>
      <c r="G25" s="24" t="s">
        <v>23</v>
      </c>
      <c r="H25" s="27" t="s">
        <v>6</v>
      </c>
      <c r="I25" s="26" t="s">
        <v>80</v>
      </c>
    </row>
    <row r="26" spans="1:9" ht="30" customHeight="1" thickBot="1">
      <c r="A26" s="13" t="s">
        <v>75</v>
      </c>
      <c r="B26" s="13" t="s">
        <v>76</v>
      </c>
      <c r="C26" s="13" t="s">
        <v>77</v>
      </c>
      <c r="D26" s="13">
        <v>2</v>
      </c>
      <c r="E26" s="15" t="s">
        <v>81</v>
      </c>
      <c r="F26" s="15" t="s">
        <v>82</v>
      </c>
      <c r="G26" s="13" t="s">
        <v>23</v>
      </c>
      <c r="H26" s="16" t="s">
        <v>6</v>
      </c>
      <c r="I26" s="15"/>
    </row>
    <row r="27" spans="1:9" ht="30" customHeight="1">
      <c r="A27" s="24" t="s">
        <v>83</v>
      </c>
      <c r="B27" s="24" t="s">
        <v>19</v>
      </c>
      <c r="C27" s="24" t="s">
        <v>77</v>
      </c>
      <c r="D27" s="24">
        <v>2</v>
      </c>
      <c r="E27" s="26" t="s">
        <v>84</v>
      </c>
      <c r="F27" s="26" t="s">
        <v>85</v>
      </c>
      <c r="G27" s="24" t="s">
        <v>23</v>
      </c>
      <c r="H27" s="27" t="s">
        <v>6</v>
      </c>
      <c r="I27" s="26"/>
    </row>
    <row r="28" spans="1:9" ht="30" customHeight="1" thickBot="1">
      <c r="A28" s="13" t="s">
        <v>83</v>
      </c>
      <c r="B28" s="13" t="s">
        <v>19</v>
      </c>
      <c r="C28" s="13" t="s">
        <v>77</v>
      </c>
      <c r="D28" s="13">
        <v>1</v>
      </c>
      <c r="E28" s="14" t="s">
        <v>86</v>
      </c>
      <c r="F28" s="15" t="s">
        <v>87</v>
      </c>
      <c r="G28" s="13" t="s">
        <v>23</v>
      </c>
      <c r="H28" s="16" t="s">
        <v>6</v>
      </c>
      <c r="I28" s="15" t="s">
        <v>88</v>
      </c>
    </row>
    <row r="29" spans="1:9" ht="30" customHeight="1">
      <c r="A29" s="24" t="s">
        <v>89</v>
      </c>
      <c r="B29" s="24" t="s">
        <v>42</v>
      </c>
      <c r="C29" s="24" t="s">
        <v>77</v>
      </c>
      <c r="D29" s="24">
        <v>1</v>
      </c>
      <c r="E29" s="25" t="s">
        <v>90</v>
      </c>
      <c r="F29" s="26" t="s">
        <v>91</v>
      </c>
      <c r="G29" s="24" t="s">
        <v>23</v>
      </c>
      <c r="H29" s="27" t="s">
        <v>6</v>
      </c>
      <c r="I29" s="26" t="s">
        <v>92</v>
      </c>
    </row>
    <row r="30" spans="1:9" ht="30" customHeight="1" thickBot="1">
      <c r="A30" s="13" t="s">
        <v>89</v>
      </c>
      <c r="B30" s="13" t="s">
        <v>42</v>
      </c>
      <c r="C30" s="13" t="s">
        <v>77</v>
      </c>
      <c r="D30" s="13">
        <v>2</v>
      </c>
      <c r="E30" s="15" t="s">
        <v>93</v>
      </c>
      <c r="F30" s="15" t="s">
        <v>94</v>
      </c>
      <c r="G30" s="13" t="s">
        <v>95</v>
      </c>
      <c r="H30" s="16" t="s">
        <v>6</v>
      </c>
      <c r="I30" s="15" t="s">
        <v>96</v>
      </c>
    </row>
    <row r="31" spans="1:9" ht="30" customHeight="1">
      <c r="A31" s="24" t="s">
        <v>97</v>
      </c>
      <c r="B31" s="24" t="s">
        <v>56</v>
      </c>
      <c r="C31" s="24" t="s">
        <v>77</v>
      </c>
      <c r="D31" s="24">
        <v>1</v>
      </c>
      <c r="E31" s="38" t="s">
        <v>277</v>
      </c>
      <c r="F31" s="26" t="s">
        <v>98</v>
      </c>
      <c r="G31" s="24" t="s">
        <v>23</v>
      </c>
      <c r="H31" s="27" t="s">
        <v>6</v>
      </c>
      <c r="I31" s="26" t="s">
        <v>99</v>
      </c>
    </row>
    <row r="32" spans="1:9" ht="30" customHeight="1" thickBot="1">
      <c r="A32" s="13" t="s">
        <v>97</v>
      </c>
      <c r="B32" s="13" t="s">
        <v>56</v>
      </c>
      <c r="C32" s="13" t="s">
        <v>77</v>
      </c>
      <c r="D32" s="13">
        <v>2</v>
      </c>
      <c r="E32" s="15" t="s">
        <v>100</v>
      </c>
      <c r="F32" s="15" t="s">
        <v>101</v>
      </c>
      <c r="G32" s="13" t="s">
        <v>23</v>
      </c>
      <c r="H32" s="16" t="s">
        <v>6</v>
      </c>
      <c r="I32" s="15"/>
    </row>
    <row r="33" spans="1:9" ht="30" customHeight="1">
      <c r="A33" s="24" t="s">
        <v>102</v>
      </c>
      <c r="B33" s="24" t="s">
        <v>66</v>
      </c>
      <c r="C33" s="24" t="s">
        <v>77</v>
      </c>
      <c r="D33" s="24">
        <v>2</v>
      </c>
      <c r="E33" s="26" t="s">
        <v>103</v>
      </c>
      <c r="F33" s="26" t="s">
        <v>104</v>
      </c>
      <c r="G33" s="24" t="s">
        <v>23</v>
      </c>
      <c r="H33" s="27" t="s">
        <v>6</v>
      </c>
      <c r="I33" s="26" t="s">
        <v>105</v>
      </c>
    </row>
    <row r="34" spans="1:9" ht="30" customHeight="1">
      <c r="A34" s="20" t="s">
        <v>102</v>
      </c>
      <c r="B34" s="20" t="s">
        <v>66</v>
      </c>
      <c r="C34" s="20" t="s">
        <v>77</v>
      </c>
      <c r="D34" s="20">
        <v>1</v>
      </c>
      <c r="E34" s="21" t="s">
        <v>106</v>
      </c>
      <c r="F34" s="22" t="s">
        <v>107</v>
      </c>
      <c r="G34" s="20" t="s">
        <v>23</v>
      </c>
      <c r="H34" s="23" t="s">
        <v>44</v>
      </c>
      <c r="I34" s="22" t="s">
        <v>108</v>
      </c>
    </row>
    <row r="35" spans="1:9" ht="30" customHeight="1">
      <c r="A35" s="13" t="s">
        <v>102</v>
      </c>
      <c r="B35" s="13" t="s">
        <v>66</v>
      </c>
      <c r="C35" s="13" t="s">
        <v>77</v>
      </c>
      <c r="D35" s="13">
        <v>3</v>
      </c>
      <c r="E35" s="15" t="s">
        <v>109</v>
      </c>
      <c r="F35" s="15" t="s">
        <v>110</v>
      </c>
      <c r="G35" s="13" t="s">
        <v>40</v>
      </c>
      <c r="H35" s="16" t="s">
        <v>6</v>
      </c>
      <c r="I35" s="15"/>
    </row>
    <row r="36" spans="1:9" ht="30" customHeight="1" thickBot="1">
      <c r="A36" s="13" t="s">
        <v>102</v>
      </c>
      <c r="B36" s="13" t="s">
        <v>66</v>
      </c>
      <c r="C36" s="13" t="s">
        <v>77</v>
      </c>
      <c r="D36" s="13">
        <v>1</v>
      </c>
      <c r="E36" s="14" t="s">
        <v>111</v>
      </c>
      <c r="F36" s="15" t="s">
        <v>112</v>
      </c>
      <c r="G36" s="13" t="s">
        <v>23</v>
      </c>
      <c r="H36" s="16" t="s">
        <v>6</v>
      </c>
      <c r="I36" s="15"/>
    </row>
    <row r="37" spans="1:9" ht="30" customHeight="1">
      <c r="A37" s="24" t="s">
        <v>113</v>
      </c>
      <c r="B37" s="24" t="s">
        <v>76</v>
      </c>
      <c r="C37" s="24" t="s">
        <v>114</v>
      </c>
      <c r="D37" s="24">
        <v>1</v>
      </c>
      <c r="E37" s="25" t="s">
        <v>115</v>
      </c>
      <c r="F37" s="26" t="s">
        <v>116</v>
      </c>
      <c r="G37" s="24" t="s">
        <v>23</v>
      </c>
      <c r="H37" s="27" t="s">
        <v>6</v>
      </c>
      <c r="I37" s="26"/>
    </row>
    <row r="38" spans="1:9" ht="30" customHeight="1" thickBot="1">
      <c r="A38" s="13" t="s">
        <v>113</v>
      </c>
      <c r="B38" s="13" t="s">
        <v>76</v>
      </c>
      <c r="C38" s="13" t="s">
        <v>114</v>
      </c>
      <c r="D38" s="13">
        <v>1</v>
      </c>
      <c r="E38" s="14" t="s">
        <v>117</v>
      </c>
      <c r="F38" s="15" t="s">
        <v>118</v>
      </c>
      <c r="G38" s="13" t="s">
        <v>23</v>
      </c>
      <c r="H38" s="16" t="s">
        <v>6</v>
      </c>
      <c r="I38" s="15" t="s">
        <v>119</v>
      </c>
    </row>
    <row r="39" spans="1:9" ht="30" customHeight="1">
      <c r="A39" s="24" t="s">
        <v>120</v>
      </c>
      <c r="B39" s="24" t="s">
        <v>19</v>
      </c>
      <c r="C39" s="24" t="s">
        <v>114</v>
      </c>
      <c r="D39" s="24">
        <v>1</v>
      </c>
      <c r="E39" s="25" t="s">
        <v>121</v>
      </c>
      <c r="F39" s="26" t="s">
        <v>122</v>
      </c>
      <c r="G39" s="24" t="s">
        <v>23</v>
      </c>
      <c r="H39" s="27" t="s">
        <v>6</v>
      </c>
      <c r="I39" s="26" t="s">
        <v>123</v>
      </c>
    </row>
    <row r="40" spans="1:9" ht="30" customHeight="1" thickBot="1">
      <c r="A40" s="13" t="s">
        <v>120</v>
      </c>
      <c r="B40" s="13" t="s">
        <v>19</v>
      </c>
      <c r="C40" s="13" t="s">
        <v>114</v>
      </c>
      <c r="D40" s="13">
        <v>2</v>
      </c>
      <c r="E40" s="15" t="s">
        <v>124</v>
      </c>
      <c r="F40" s="15" t="s">
        <v>125</v>
      </c>
      <c r="G40" s="13" t="s">
        <v>23</v>
      </c>
      <c r="H40" s="16" t="s">
        <v>6</v>
      </c>
      <c r="I40" s="15"/>
    </row>
    <row r="41" spans="1:9" ht="30" customHeight="1">
      <c r="A41" s="24" t="s">
        <v>126</v>
      </c>
      <c r="B41" s="24" t="s">
        <v>42</v>
      </c>
      <c r="C41" s="24" t="s">
        <v>114</v>
      </c>
      <c r="D41" s="24">
        <v>1</v>
      </c>
      <c r="E41" s="25" t="s">
        <v>127</v>
      </c>
      <c r="F41" s="26" t="s">
        <v>128</v>
      </c>
      <c r="G41" s="24" t="s">
        <v>23</v>
      </c>
      <c r="H41" s="27" t="s">
        <v>6</v>
      </c>
      <c r="I41" s="26" t="s">
        <v>129</v>
      </c>
    </row>
    <row r="42" spans="1:9" ht="30" customHeight="1" thickBot="1">
      <c r="A42" s="13" t="s">
        <v>126</v>
      </c>
      <c r="B42" s="13" t="s">
        <v>42</v>
      </c>
      <c r="C42" s="13" t="s">
        <v>114</v>
      </c>
      <c r="D42" s="13">
        <v>2</v>
      </c>
      <c r="E42" s="15" t="s">
        <v>130</v>
      </c>
      <c r="F42" s="15" t="s">
        <v>131</v>
      </c>
      <c r="G42" s="13" t="s">
        <v>23</v>
      </c>
      <c r="H42" s="16" t="s">
        <v>6</v>
      </c>
      <c r="I42" s="15"/>
    </row>
    <row r="43" spans="1:9" ht="30" customHeight="1">
      <c r="A43" s="24" t="s">
        <v>132</v>
      </c>
      <c r="B43" s="24" t="s">
        <v>56</v>
      </c>
      <c r="C43" s="24" t="s">
        <v>114</v>
      </c>
      <c r="D43" s="24">
        <v>2</v>
      </c>
      <c r="E43" s="26" t="s">
        <v>133</v>
      </c>
      <c r="F43" s="26" t="s">
        <v>134</v>
      </c>
      <c r="G43" s="24" t="s">
        <v>23</v>
      </c>
      <c r="H43" s="27" t="s">
        <v>6</v>
      </c>
      <c r="I43" s="26" t="s">
        <v>135</v>
      </c>
    </row>
    <row r="44" spans="1:9" ht="30" customHeight="1" thickBot="1">
      <c r="A44" s="13" t="s">
        <v>132</v>
      </c>
      <c r="B44" s="13" t="s">
        <v>56</v>
      </c>
      <c r="C44" s="13" t="s">
        <v>114</v>
      </c>
      <c r="D44" s="13">
        <v>3</v>
      </c>
      <c r="E44" s="15" t="s">
        <v>136</v>
      </c>
      <c r="F44" s="15" t="s">
        <v>137</v>
      </c>
      <c r="G44" s="13" t="s">
        <v>23</v>
      </c>
      <c r="H44" s="16" t="s">
        <v>6</v>
      </c>
      <c r="I44" s="15"/>
    </row>
    <row r="45" spans="1:9" ht="30" customHeight="1">
      <c r="A45" s="24" t="s">
        <v>138</v>
      </c>
      <c r="B45" s="24" t="s">
        <v>66</v>
      </c>
      <c r="C45" s="24" t="s">
        <v>114</v>
      </c>
      <c r="D45" s="24">
        <v>1</v>
      </c>
      <c r="E45" s="25" t="s">
        <v>139</v>
      </c>
      <c r="F45" s="26" t="s">
        <v>140</v>
      </c>
      <c r="G45" s="24" t="s">
        <v>23</v>
      </c>
      <c r="H45" s="27" t="s">
        <v>6</v>
      </c>
      <c r="I45" s="26"/>
    </row>
    <row r="46" spans="1:9" ht="30" customHeight="1">
      <c r="A46" s="13" t="s">
        <v>138</v>
      </c>
      <c r="B46" s="13" t="s">
        <v>66</v>
      </c>
      <c r="C46" s="13" t="s">
        <v>114</v>
      </c>
      <c r="D46" s="13">
        <v>1</v>
      </c>
      <c r="E46" s="40" t="s">
        <v>280</v>
      </c>
      <c r="F46" s="15" t="s">
        <v>141</v>
      </c>
      <c r="G46" s="13" t="s">
        <v>23</v>
      </c>
      <c r="H46" s="16" t="s">
        <v>6</v>
      </c>
      <c r="I46" s="15" t="s">
        <v>142</v>
      </c>
    </row>
    <row r="47" spans="1:9" ht="30" customHeight="1">
      <c r="A47" s="13" t="s">
        <v>138</v>
      </c>
      <c r="B47" s="13" t="s">
        <v>66</v>
      </c>
      <c r="C47" s="13" t="s">
        <v>114</v>
      </c>
      <c r="D47" s="13">
        <v>2</v>
      </c>
      <c r="E47" s="15" t="s">
        <v>143</v>
      </c>
      <c r="F47" s="15" t="s">
        <v>144</v>
      </c>
      <c r="G47" s="13" t="s">
        <v>23</v>
      </c>
      <c r="H47" s="16" t="s">
        <v>6</v>
      </c>
      <c r="I47" s="15"/>
    </row>
    <row r="48" spans="1:9" ht="30" customHeight="1">
      <c r="A48" s="13"/>
      <c r="B48" s="13"/>
      <c r="C48" s="13"/>
      <c r="D48" s="13"/>
      <c r="E48" s="15"/>
      <c r="F48" s="15"/>
      <c r="G48" s="13"/>
      <c r="H48" s="16"/>
      <c r="I48" s="15"/>
    </row>
  </sheetData>
  <autoFilter ref="A8:I48" xr:uid="{00000000-0009-0000-0000-000000000000}"/>
  <mergeCells count="2">
    <mergeCell ref="A1:I1"/>
    <mergeCell ref="A2:I2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7.28515625" defaultRowHeight="15"/>
  <cols>
    <col min="1" max="1" width="3.28515625" customWidth="1"/>
    <col min="2" max="2" width="21.7109375" customWidth="1"/>
    <col min="3" max="3" width="10" customWidth="1"/>
    <col min="4" max="5" width="28.42578125" customWidth="1"/>
    <col min="6" max="6" width="10" customWidth="1"/>
    <col min="7" max="7" width="9.140625" customWidth="1"/>
  </cols>
  <sheetData>
    <row r="1" spans="1:7" ht="30" customHeight="1">
      <c r="A1" s="3" t="s">
        <v>145</v>
      </c>
      <c r="B1" s="3"/>
      <c r="C1" s="3"/>
      <c r="D1" s="3"/>
      <c r="E1" s="3"/>
      <c r="F1" s="3"/>
      <c r="G1" s="3"/>
    </row>
    <row r="2" spans="1:7" ht="18" customHeight="1">
      <c r="A2" s="2" t="s">
        <v>146</v>
      </c>
      <c r="B2" s="2"/>
      <c r="C2" s="2"/>
      <c r="D2" s="2"/>
      <c r="E2" s="2"/>
      <c r="F2" s="2"/>
      <c r="G2" s="2"/>
    </row>
    <row r="4" spans="1:7" ht="25.5" customHeight="1">
      <c r="A4" s="8" t="s">
        <v>147</v>
      </c>
      <c r="B4" s="8" t="s">
        <v>148</v>
      </c>
      <c r="C4" s="8" t="s">
        <v>149</v>
      </c>
      <c r="D4" s="8" t="s">
        <v>150</v>
      </c>
      <c r="E4" s="8" t="s">
        <v>151</v>
      </c>
      <c r="F4" s="8" t="s">
        <v>15</v>
      </c>
      <c r="G4" s="8" t="s">
        <v>152</v>
      </c>
    </row>
    <row r="5" spans="1:7" ht="33.75" customHeight="1">
      <c r="A5" s="20">
        <v>1</v>
      </c>
      <c r="B5" s="22" t="s">
        <v>153</v>
      </c>
      <c r="C5" s="20" t="s">
        <v>154</v>
      </c>
      <c r="D5" s="22" t="s">
        <v>155</v>
      </c>
      <c r="E5" s="22" t="s">
        <v>156</v>
      </c>
      <c r="F5" s="20" t="s">
        <v>23</v>
      </c>
      <c r="G5" s="20" t="s">
        <v>41</v>
      </c>
    </row>
    <row r="6" spans="1:7" ht="33.75" customHeight="1">
      <c r="A6" s="20">
        <v>2</v>
      </c>
      <c r="B6" s="22" t="s">
        <v>157</v>
      </c>
      <c r="C6" s="20" t="s">
        <v>158</v>
      </c>
      <c r="D6" s="22" t="s">
        <v>159</v>
      </c>
      <c r="E6" s="22" t="s">
        <v>160</v>
      </c>
      <c r="F6" s="20" t="s">
        <v>40</v>
      </c>
      <c r="G6" s="20" t="s">
        <v>41</v>
      </c>
    </row>
    <row r="7" spans="1:7" ht="33.75" customHeight="1">
      <c r="A7" s="20">
        <v>3</v>
      </c>
      <c r="B7" s="22" t="s">
        <v>161</v>
      </c>
      <c r="C7" s="20" t="s">
        <v>162</v>
      </c>
      <c r="D7" s="22" t="s">
        <v>163</v>
      </c>
      <c r="E7" s="22" t="s">
        <v>164</v>
      </c>
      <c r="F7" s="20" t="s">
        <v>23</v>
      </c>
      <c r="G7" s="20" t="s">
        <v>97</v>
      </c>
    </row>
    <row r="8" spans="1:7" ht="33.75" customHeight="1">
      <c r="A8" s="20">
        <v>4</v>
      </c>
      <c r="B8" s="22" t="s">
        <v>165</v>
      </c>
      <c r="C8" s="20" t="s">
        <v>158</v>
      </c>
      <c r="D8" s="22" t="s">
        <v>166</v>
      </c>
      <c r="E8" s="22" t="s">
        <v>167</v>
      </c>
      <c r="F8" s="20" t="s">
        <v>40</v>
      </c>
      <c r="G8" s="20" t="s">
        <v>102</v>
      </c>
    </row>
    <row r="9" spans="1:7" ht="33.75" customHeight="1">
      <c r="A9" s="28">
        <v>5</v>
      </c>
      <c r="B9" s="29" t="s">
        <v>168</v>
      </c>
      <c r="C9" s="28" t="s">
        <v>169</v>
      </c>
      <c r="D9" s="29" t="s">
        <v>170</v>
      </c>
      <c r="E9" s="29" t="s">
        <v>171</v>
      </c>
      <c r="F9" s="28" t="s">
        <v>23</v>
      </c>
      <c r="G9" s="28" t="s">
        <v>83</v>
      </c>
    </row>
    <row r="10" spans="1:7" ht="33.75" customHeight="1">
      <c r="A10" s="28">
        <v>6</v>
      </c>
      <c r="B10" s="29" t="s">
        <v>172</v>
      </c>
      <c r="C10" s="28" t="s">
        <v>173</v>
      </c>
      <c r="D10" s="29" t="s">
        <v>174</v>
      </c>
      <c r="E10" s="29" t="s">
        <v>175</v>
      </c>
      <c r="F10" s="28" t="s">
        <v>40</v>
      </c>
      <c r="G10" s="28" t="s">
        <v>102</v>
      </c>
    </row>
    <row r="11" spans="1:7" ht="33.75" customHeight="1">
      <c r="A11" s="28">
        <v>7</v>
      </c>
      <c r="B11" s="29" t="s">
        <v>176</v>
      </c>
      <c r="C11" s="28" t="s">
        <v>177</v>
      </c>
      <c r="D11" s="29" t="s">
        <v>178</v>
      </c>
      <c r="E11" s="29" t="s">
        <v>179</v>
      </c>
      <c r="F11" s="28" t="s">
        <v>23</v>
      </c>
      <c r="G11" s="28" t="s">
        <v>180</v>
      </c>
    </row>
    <row r="12" spans="1:7" ht="33.75" customHeight="1">
      <c r="A12" s="30">
        <v>8</v>
      </c>
      <c r="B12" s="31" t="s">
        <v>181</v>
      </c>
      <c r="C12" s="30" t="s">
        <v>182</v>
      </c>
      <c r="D12" s="31" t="s">
        <v>183</v>
      </c>
      <c r="E12" s="31" t="s">
        <v>184</v>
      </c>
      <c r="F12" s="30" t="s">
        <v>185</v>
      </c>
      <c r="G12" s="30" t="s">
        <v>185</v>
      </c>
    </row>
    <row r="13" spans="1:7" ht="33.75" customHeight="1">
      <c r="A13" s="30">
        <v>9</v>
      </c>
      <c r="B13" s="31" t="s">
        <v>186</v>
      </c>
      <c r="C13" s="30" t="s">
        <v>182</v>
      </c>
      <c r="D13" s="31" t="s">
        <v>187</v>
      </c>
      <c r="E13" s="31" t="s">
        <v>188</v>
      </c>
      <c r="F13" s="30" t="s">
        <v>185</v>
      </c>
      <c r="G13" s="30" t="s">
        <v>185</v>
      </c>
    </row>
  </sheetData>
  <mergeCells count="2">
    <mergeCell ref="A1:G1"/>
    <mergeCell ref="A2:G2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zoomScaleNormal="100" workbookViewId="0">
      <pane ySplit="4" topLeftCell="A5" activePane="bottomLeft" state="frozen"/>
      <selection pane="bottomLeft"/>
    </sheetView>
  </sheetViews>
  <sheetFormatPr baseColWidth="10" defaultColWidth="7.28515625" defaultRowHeight="15"/>
  <cols>
    <col min="1" max="1" width="18.42578125" customWidth="1"/>
    <col min="2" max="2" width="8.28515625" customWidth="1"/>
    <col min="3" max="3" width="38.42578125" customWidth="1"/>
    <col min="4" max="4" width="8.28515625" customWidth="1"/>
    <col min="5" max="5" width="25" customWidth="1"/>
  </cols>
  <sheetData>
    <row r="1" spans="1:5" ht="30" customHeight="1">
      <c r="A1" s="3" t="s">
        <v>189</v>
      </c>
      <c r="B1" s="3"/>
      <c r="C1" s="3"/>
      <c r="D1" s="3"/>
      <c r="E1" s="3"/>
    </row>
    <row r="2" spans="1:5" ht="18" customHeight="1">
      <c r="A2" s="2" t="s">
        <v>190</v>
      </c>
      <c r="B2" s="2"/>
      <c r="C2" s="2"/>
      <c r="D2" s="2"/>
      <c r="E2" s="2"/>
    </row>
    <row r="4" spans="1:5" ht="25.5" customHeight="1">
      <c r="A4" s="8" t="s">
        <v>191</v>
      </c>
      <c r="B4" s="8" t="s">
        <v>192</v>
      </c>
      <c r="C4" s="8" t="s">
        <v>193</v>
      </c>
      <c r="D4" s="8" t="s">
        <v>194</v>
      </c>
      <c r="E4" s="8" t="s">
        <v>195</v>
      </c>
    </row>
    <row r="5" spans="1:5" ht="25.5" customHeight="1">
      <c r="A5" s="32" t="s">
        <v>196</v>
      </c>
      <c r="B5" s="13">
        <v>209</v>
      </c>
      <c r="C5" s="15" t="s">
        <v>197</v>
      </c>
      <c r="D5" s="13" t="s">
        <v>198</v>
      </c>
      <c r="E5" s="15" t="s">
        <v>199</v>
      </c>
    </row>
    <row r="6" spans="1:5" ht="25.5" customHeight="1">
      <c r="A6" s="32" t="s">
        <v>200</v>
      </c>
      <c r="B6" s="13">
        <v>450</v>
      </c>
      <c r="C6" s="15" t="s">
        <v>201</v>
      </c>
      <c r="D6" s="13" t="s">
        <v>202</v>
      </c>
      <c r="E6" s="15" t="s">
        <v>203</v>
      </c>
    </row>
    <row r="7" spans="1:5" ht="25.5" customHeight="1">
      <c r="A7" s="32" t="s">
        <v>204</v>
      </c>
      <c r="B7" s="13">
        <v>209</v>
      </c>
      <c r="C7" s="15" t="s">
        <v>205</v>
      </c>
      <c r="D7" s="13" t="s">
        <v>206</v>
      </c>
      <c r="E7" s="15" t="s">
        <v>207</v>
      </c>
    </row>
    <row r="8" spans="1:5" ht="25.5" customHeight="1">
      <c r="A8" s="32" t="s">
        <v>208</v>
      </c>
      <c r="B8" s="13">
        <v>181</v>
      </c>
      <c r="C8" s="15" t="s">
        <v>209</v>
      </c>
      <c r="D8" s="13" t="s">
        <v>210</v>
      </c>
      <c r="E8" s="15" t="s">
        <v>211</v>
      </c>
    </row>
    <row r="9" spans="1:5" ht="25.5" customHeight="1">
      <c r="A9" s="32" t="s">
        <v>212</v>
      </c>
      <c r="B9" s="13">
        <v>155</v>
      </c>
      <c r="C9" s="15" t="s">
        <v>213</v>
      </c>
      <c r="D9" s="13" t="s">
        <v>185</v>
      </c>
      <c r="E9" s="15" t="s">
        <v>214</v>
      </c>
    </row>
    <row r="10" spans="1:5" ht="25.5" customHeight="1">
      <c r="A10" s="32" t="s">
        <v>215</v>
      </c>
      <c r="B10" s="13">
        <v>188</v>
      </c>
      <c r="C10" s="15" t="s">
        <v>216</v>
      </c>
      <c r="D10" s="13" t="s">
        <v>185</v>
      </c>
      <c r="E10" s="15" t="s">
        <v>217</v>
      </c>
    </row>
    <row r="11" spans="1:5" ht="25.5" customHeight="1">
      <c r="A11" s="32" t="s">
        <v>218</v>
      </c>
      <c r="B11" s="13">
        <v>729</v>
      </c>
      <c r="C11" s="15" t="s">
        <v>219</v>
      </c>
      <c r="D11" s="13" t="s">
        <v>185</v>
      </c>
      <c r="E11" s="15" t="s">
        <v>220</v>
      </c>
    </row>
    <row r="12" spans="1:5" ht="25.5" customHeight="1">
      <c r="A12" s="32" t="s">
        <v>221</v>
      </c>
      <c r="B12" s="13">
        <v>29</v>
      </c>
      <c r="C12" s="15" t="s">
        <v>222</v>
      </c>
      <c r="D12" s="13" t="s">
        <v>185</v>
      </c>
      <c r="E12" s="15"/>
    </row>
    <row r="13" spans="1:5" ht="25.5" customHeight="1">
      <c r="A13" s="32" t="s">
        <v>223</v>
      </c>
      <c r="B13" s="13">
        <v>85</v>
      </c>
      <c r="C13" s="15" t="s">
        <v>224</v>
      </c>
      <c r="D13" s="13" t="s">
        <v>225</v>
      </c>
      <c r="E13" s="15" t="s">
        <v>226</v>
      </c>
    </row>
    <row r="14" spans="1:5" ht="25.5" customHeight="1">
      <c r="A14" s="32" t="s">
        <v>227</v>
      </c>
      <c r="B14" s="13">
        <v>137</v>
      </c>
      <c r="C14" s="15" t="s">
        <v>228</v>
      </c>
      <c r="D14" s="13" t="s">
        <v>210</v>
      </c>
      <c r="E14" s="15" t="s">
        <v>229</v>
      </c>
    </row>
    <row r="15" spans="1:5" ht="25.5" customHeight="1">
      <c r="A15" s="32" t="s">
        <v>230</v>
      </c>
      <c r="B15" s="13">
        <v>102</v>
      </c>
      <c r="C15" s="15" t="s">
        <v>231</v>
      </c>
      <c r="D15" s="13" t="s">
        <v>185</v>
      </c>
      <c r="E15" s="15" t="s">
        <v>232</v>
      </c>
    </row>
    <row r="16" spans="1:5" ht="25.5" customHeight="1">
      <c r="A16" s="33" t="s">
        <v>233</v>
      </c>
      <c r="B16" s="28">
        <v>245</v>
      </c>
      <c r="C16" s="29" t="s">
        <v>234</v>
      </c>
      <c r="D16" s="28" t="s">
        <v>185</v>
      </c>
      <c r="E16" s="29" t="s">
        <v>235</v>
      </c>
    </row>
    <row r="17" spans="1:5" ht="25.5" customHeight="1">
      <c r="A17" s="32" t="s">
        <v>236</v>
      </c>
      <c r="B17" s="13" t="s">
        <v>185</v>
      </c>
      <c r="C17" s="15" t="s">
        <v>237</v>
      </c>
      <c r="D17" s="13" t="s">
        <v>185</v>
      </c>
      <c r="E17" s="15" t="s">
        <v>238</v>
      </c>
    </row>
    <row r="18" spans="1:5" ht="25.5" customHeight="1">
      <c r="A18" s="32" t="s">
        <v>239</v>
      </c>
      <c r="B18" s="13" t="s">
        <v>185</v>
      </c>
      <c r="C18" s="15" t="s">
        <v>240</v>
      </c>
      <c r="D18" s="13" t="s">
        <v>185</v>
      </c>
      <c r="E18" s="15" t="s">
        <v>241</v>
      </c>
    </row>
    <row r="20" spans="1:5">
      <c r="A20" s="34" t="s">
        <v>242</v>
      </c>
      <c r="B20" s="35">
        <f>SUM(B5:B18)</f>
        <v>2719</v>
      </c>
    </row>
  </sheetData>
  <mergeCells count="2">
    <mergeCell ref="A1:E1"/>
    <mergeCell ref="A2:E2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7.28515625" defaultRowHeight="15"/>
  <cols>
    <col min="1" max="1" width="16.7109375" customWidth="1"/>
    <col min="2" max="2" width="25" customWidth="1"/>
    <col min="3" max="3" width="13.28515625" customWidth="1"/>
    <col min="4" max="5" width="11.7109375" customWidth="1"/>
    <col min="6" max="6" width="28.42578125" customWidth="1"/>
  </cols>
  <sheetData>
    <row r="1" spans="1:6" ht="30" customHeight="1">
      <c r="A1" s="3" t="s">
        <v>243</v>
      </c>
      <c r="B1" s="3"/>
      <c r="C1" s="3"/>
      <c r="D1" s="3"/>
      <c r="E1" s="3"/>
      <c r="F1" s="3"/>
    </row>
    <row r="2" spans="1:6" ht="18" customHeight="1">
      <c r="A2" s="2" t="s">
        <v>244</v>
      </c>
      <c r="B2" s="2"/>
      <c r="C2" s="2"/>
      <c r="D2" s="2"/>
      <c r="E2" s="2"/>
      <c r="F2" s="2"/>
    </row>
    <row r="4" spans="1:6" ht="25.5" customHeight="1">
      <c r="A4" s="8" t="s">
        <v>245</v>
      </c>
      <c r="B4" s="8" t="s">
        <v>246</v>
      </c>
      <c r="C4" s="8" t="s">
        <v>247</v>
      </c>
      <c r="D4" s="8" t="s">
        <v>248</v>
      </c>
      <c r="E4" s="8" t="s">
        <v>249</v>
      </c>
      <c r="F4" s="8" t="s">
        <v>195</v>
      </c>
    </row>
    <row r="5" spans="1:6" ht="30" customHeight="1">
      <c r="A5" s="32" t="s">
        <v>250</v>
      </c>
      <c r="B5" s="15" t="s">
        <v>251</v>
      </c>
      <c r="C5" s="15" t="s">
        <v>252</v>
      </c>
      <c r="D5" s="36"/>
      <c r="E5" s="36"/>
      <c r="F5" s="15" t="s">
        <v>253</v>
      </c>
    </row>
    <row r="6" spans="1:6" ht="30" customHeight="1">
      <c r="A6" s="32" t="s">
        <v>254</v>
      </c>
      <c r="B6" s="15" t="s">
        <v>255</v>
      </c>
      <c r="C6" s="15" t="s">
        <v>256</v>
      </c>
      <c r="D6" s="36"/>
      <c r="E6" s="36"/>
      <c r="F6" s="15" t="s">
        <v>257</v>
      </c>
    </row>
    <row r="7" spans="1:6" ht="30" customHeight="1">
      <c r="A7" s="32" t="s">
        <v>258</v>
      </c>
      <c r="B7" s="15" t="s">
        <v>259</v>
      </c>
      <c r="C7" s="15" t="s">
        <v>260</v>
      </c>
      <c r="D7" s="36"/>
      <c r="E7" s="36"/>
      <c r="F7" s="15" t="s">
        <v>261</v>
      </c>
    </row>
    <row r="8" spans="1:6" ht="30" customHeight="1">
      <c r="A8" s="32" t="s">
        <v>262</v>
      </c>
      <c r="B8" s="15" t="s">
        <v>263</v>
      </c>
      <c r="C8" s="15" t="s">
        <v>264</v>
      </c>
      <c r="D8" s="36"/>
      <c r="E8" s="36"/>
      <c r="F8" s="15" t="s">
        <v>265</v>
      </c>
    </row>
    <row r="9" spans="1:6" ht="30" customHeight="1">
      <c r="A9" s="32" t="s">
        <v>266</v>
      </c>
      <c r="B9" s="15" t="s">
        <v>267</v>
      </c>
      <c r="C9" s="15" t="s">
        <v>268</v>
      </c>
      <c r="D9" s="36"/>
      <c r="E9" s="36"/>
      <c r="F9" s="15" t="s">
        <v>269</v>
      </c>
    </row>
    <row r="10" spans="1:6" ht="30" customHeight="1">
      <c r="A10" s="32" t="s">
        <v>270</v>
      </c>
      <c r="B10" s="15" t="s">
        <v>271</v>
      </c>
      <c r="C10" s="15" t="s">
        <v>272</v>
      </c>
      <c r="D10" s="36" t="s">
        <v>273</v>
      </c>
      <c r="E10" s="36"/>
      <c r="F10" s="15" t="s">
        <v>274</v>
      </c>
    </row>
    <row r="13" spans="1:6" ht="30" customHeight="1">
      <c r="A13" s="1" t="s">
        <v>275</v>
      </c>
      <c r="B13" s="1"/>
      <c r="C13" s="1"/>
      <c r="D13" s="1"/>
      <c r="E13" s="1"/>
      <c r="F13" s="1"/>
    </row>
  </sheetData>
  <mergeCells count="3">
    <mergeCell ref="A1:F1"/>
    <mergeCell ref="A2:F2"/>
    <mergeCell ref="A13:F13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마스터 일정</vt:lpstr>
      <vt:lpstr>블로커·리스크</vt:lpstr>
      <vt:lpstr>완료 산출물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김민지</cp:lastModifiedBy>
  <cp:revision>0</cp:revision>
  <dcterms:created xsi:type="dcterms:W3CDTF">2026-07-28T07:48:59Z</dcterms:created>
  <dcterms:modified xsi:type="dcterms:W3CDTF">2026-07-28T07:54:48Z</dcterms:modified>
  <dc:language>ko-KR</dc:language>
</cp:coreProperties>
</file>